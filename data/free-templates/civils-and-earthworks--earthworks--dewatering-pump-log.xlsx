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Pump Log"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'Pump Log'!$A$1:$M$58</definedName>
    <definedName function="false" hidden="true" localSheetId="2" name="_xlnm._FilterDatabase" vbProcedure="false">'Pump Log'!$A$7:$P$58</definedName>
    <definedName function="false" hidden="false" name="DataTable" vbProcedure="false">'Pump Log'!$A$7:$P$58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<sst xmlns="http://schemas.openxmlformats.org/spreadsheetml/2006/main" count="83" uniqueCount="74">
  <si>
    <t xml:space="preserve">EBRORA</t>
  </si>
  <si>
    <t xml:space="preserve">ebrora.com</t>
  </si>
  <si>
    <t xml:space="preserve">Dewatering
Pump Log</t>
  </si>
  <si>
    <t xml:space="preserve">Monitor dewatering pump operations with daily runtime, flow rates, water levels, and automatic volume calculations for environmental compliance.</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</si>
  <si>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</si>
  <si>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</si>
  <si>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</si>
  <si>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</si>
  <si>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'Pump Log' sheet. Each row is one daily reading for a specific pump station.</t>
  </si>
  <si>
    <t xml:space="preserve">2. The summary panel shows total volume discharged, average daily flow, and pump utilisation across all stations.</t>
  </si>
  <si>
    <t xml:space="preserve">3. Enter the pump ID, date, and location for each daily reading. Record the start and end hour meter readings.</t>
  </si>
  <si>
    <t xml:space="preserve">4. Runtime Hours auto-calculates (end reading minus start). Enter the average flow rate (l/s) during the period.</t>
  </si>
  <si>
    <t xml:space="preserve">5. Daily Volume (m³) auto-calculates: flow rate × runtime × 3.6 (converting l/s × hours to m³).</t>
  </si>
  <si>
    <t xml:space="preserve">6. Record the groundwater level at the monitoring point and whether it's within the target drawdown range.</t>
  </si>
  <si>
    <t xml:space="preserve">7. The Discharge Compliant column checks that daily volume doesn't exceed the permitted daily limit (column L).</t>
  </si>
  <si>
    <t xml:space="preserve">8. Expand optional columns [+] for pH readings, turbidity, and settlement tank status.</t>
  </si>
  <si>
    <t xml:space="preserve">Colour Key</t>
  </si>
  <si>
    <t xml:space="preserve">Light teal</t>
  </si>
  <si>
    <t xml:space="preserve">Editable cells</t>
  </si>
  <si>
    <t xml:space="preserve">Dark navy</t>
  </si>
  <si>
    <t xml:space="preserve">Headers</t>
  </si>
  <si>
    <t xml:space="preserve">Green</t>
  </si>
  <si>
    <t xml:space="preserve">Within limits / compliant</t>
  </si>
  <si>
    <t xml:space="preserve">Amber</t>
  </si>
  <si>
    <t xml:space="preserve">Approaching limit (&gt;80% of permitted)</t>
  </si>
  <si>
    <t xml:space="preserve">Red</t>
  </si>
  <si>
    <t xml:space="preserve">Exceeds limit / non-compliant</t>
  </si>
  <si>
    <t xml:space="preserve">Tips</t>
  </si>
  <si>
    <t xml:space="preserve">• Check your environmental permit for maximum daily discharge volumes and water quality limits — breach = prosecution.</t>
  </si>
  <si>
    <t xml:space="preserve">• Record groundwater levels at the same time each day for consistency (recommend first thing in the morning).</t>
  </si>
  <si>
    <t xml:space="preserve">• If turbidity or pH is outside limits, stop pumping immediately and check your settlement/treatment system.</t>
  </si>
  <si>
    <t xml:space="preserve">DEWATERING PUMP LOG</t>
  </si>
  <si>
    <t xml:space="preserve">Total Vol (m³)</t>
  </si>
  <si>
    <t xml:space="preserve">Avg Daily (m³)</t>
  </si>
  <si>
    <t xml:space="preserve">Total Runtime (hrs)</t>
  </si>
  <si>
    <t xml:space="preserve">Avg Flow (l/s)</t>
  </si>
  <si>
    <t xml:space="preserve">Readings</t>
  </si>
  <si>
    <t xml:space="preserve">Exceedances</t>
  </si>
  <si>
    <t xml:space="preserve">▸ Optional Fields — Click [+] to expand</t>
  </si>
  <si>
    <t xml:space="preserve">Pump
ID</t>
  </si>
  <si>
    <t xml:space="preserve">Date</t>
  </si>
  <si>
    <t xml:space="preserve">Location</t>
  </si>
  <si>
    <t xml:space="preserve">Start
Hours</t>
  </si>
  <si>
    <t xml:space="preserve">End
Hours</t>
  </si>
  <si>
    <t xml:space="preserve">Runtime
(hrs)</t>
  </si>
  <si>
    <t xml:space="preserve">Avg Flow
(l/s)</t>
  </si>
  <si>
    <t xml:space="preserve">Daily Vol
(m³)</t>
  </si>
  <si>
    <t xml:space="preserve">Cumul. Vol
(m³)</t>
  </si>
  <si>
    <t xml:space="preserve">GW Level
(m bgl)</t>
  </si>
  <si>
    <t xml:space="preserve">Permit
Limit (m³)</t>
  </si>
  <si>
    <t xml:space="preserve">Compliant?</t>
  </si>
  <si>
    <t xml:space="preserve">Notes</t>
  </si>
  <si>
    <t xml:space="preserve">pH</t>
  </si>
  <si>
    <t xml:space="preserve">Turbidity
(NTU)</t>
  </si>
  <si>
    <t xml:space="preserve">Settlement
Tank OK</t>
  </si>
  <si>
    <t xml:space="preserve">DW-01</t>
  </si>
  <si>
    <t xml:space="preserve">Excavation Sump — Zone A</t>
  </si>
  <si>
    <t xml:space="preserve">Normal operation</t>
  </si>
  <si>
    <t xml:space="preserve">Yes</t>
  </si>
  <si>
    <t xml:space="preserve">Increased inflow after rain</t>
  </si>
  <si>
    <t xml:space="preserve">DW-02</t>
  </si>
  <si>
    <t xml:space="preserve">Cofferdam — River Side</t>
  </si>
  <si>
    <t xml:space="preserve">High river level — max pump rate</t>
  </si>
  <si>
    <t xml:space="preserve">Heavy rainfall — volume exceeded permit</t>
  </si>
  <si>
    <t xml:space="preserve">No</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</si>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</sst>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6">
    <numFmt numFmtId="164" formatCode="General"/>
    <numFmt numFmtId="165" formatCode="#,##0"/>
    <numFmt numFmtId="166" formatCode="#,##0.0"/>
    <numFmt numFmtId="167" formatCode="0.0"/>
    <numFmt numFmtId="168" formatCode="General"/>
    <numFmt numFmtId="169" formatCode="dd/mm/yyyy"/>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9C0006"/>
      <name val="Calibri"/>
      <family val="0"/>
      <charset val="1"/>
    </font>
    <font>
      <i val="true"/>
      <sz val="9"/>
      <color rgb="FF2AABB3"/>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7" fontId="16" fillId="0" borderId="0" xfId="0" applyFont="true" applyBorder="false" applyAlignment="true" applyProtection="false">
      <alignment horizontal="center" vertical="center" textRotation="0" wrapText="true" indent="0" shrinkToFit="false"/>
      <protection locked="true" hidden="false"/>
    </xf>
    <xf numFmtId="168" fontId="16" fillId="0" borderId="0" xfId="0" applyFont="true" applyBorder="false" applyAlignment="true" applyProtection="false">
      <alignment horizontal="center" vertical="center" textRotation="0" wrapText="true" indent="0" shrinkToFit="false"/>
      <protection locked="true" hidden="false"/>
    </xf>
    <xf numFmtId="168" fontId="17" fillId="0" borderId="0" xfId="0" applyFont="true" applyBorder="fals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center" vertical="center" textRotation="0" wrapText="true" indent="0"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9"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7" fontId="12" fillId="3" borderId="1" xfId="0" applyFont="true" applyBorder="true" applyAlignment="true" applyProtection="false">
      <alignment horizontal="center" vertical="center" textRotation="0" wrapText="true" indent="0" shrinkToFit="false"/>
      <protection locked="true" hidden="false"/>
    </xf>
    <xf numFmtId="165" fontId="12"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9C0006"/>
          <bgColor rgb="FF000000"/>
        </patternFill>
      </fill>
    </dxf>
    <dxf>
      <font>
        <name val="Calibri"/>
        <charset val="1"/>
        <family val="0"/>
        <b val="1"/>
        <color rgb="FF006100"/>
      </font>
      <fill>
        <patternFill>
          <bgColor rgb="FFC6EFCE"/>
        </patternFill>
      </fill>
    </dxf>
    <dxf>
      <font>
        <name val="Calibri"/>
        <charset val="1"/>
        <family val="0"/>
        <b val="1"/>
        <color rgb="FF9C0006"/>
      </font>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2"/>
    <col collapsed="false" customWidth="true" hidden="false" outlineLevel="0" max="3" min="3" style="0" width="22"/>
    <col collapsed="false" customWidth="true" hidden="false" outlineLevel="0" max="5" min="4" style="0" width="12"/>
    <col collapsed="false" customWidth="true" hidden="false" outlineLevel="0" max="6" min="6" style="0" width="11"/>
    <col collapsed="false" customWidth="true" hidden="false" outlineLevel="0" max="7" min="7" style="0" width="13"/>
    <col collapsed="false" customWidth="true" hidden="false" outlineLevel="0" max="9" min="8" style="0" width="14"/>
    <col collapsed="false" customWidth="true" hidden="false" outlineLevel="0" max="10" min="10" style="0" width="12"/>
    <col collapsed="false" customWidth="true" hidden="false" outlineLevel="0" max="11" min="11" style="0" width="13"/>
    <col collapsed="false" customWidth="true" hidden="false" outlineLevel="0" max="12" min="12" style="0" width="12"/>
    <col collapsed="false" customWidth="true" hidden="false" outlineLevel="0" max="13" min="13" style="0" width="28"/>
    <col collapsed="false" customWidth="true" hidden="true" outlineLevel="1" max="16" min="14" style="0" width="8"/>
  </cols>
  <sheetData>
    <row r="1" customFormat="false" ht="18.65" hidden="false" customHeight="true" outlineLevel="0" collapsed="false">
      <c r="A1" s="18" t="s">
        <v>31</v>
      </c>
      <c r="B1" s="18"/>
      <c r="C1" s="18"/>
      <c r="D1" s="18"/>
      <c r="E1" s="18"/>
      <c r="F1" s="18"/>
      <c r="G1" s="18"/>
      <c r="H1" s="18"/>
      <c r="I1" s="18"/>
      <c r="J1" s="18"/>
      <c r="K1" s="18"/>
      <c r="L1" s="18"/>
      <c r="M1" s="18"/>
      <c r="N1" s="19"/>
      <c r="O1" s="19"/>
      <c r="P1" s="19"/>
    </row>
    <row r="2" customFormat="false" ht="6" hidden="false" customHeight="true" outlineLevel="0" collapsed="false"/>
    <row r="3" customFormat="false" ht="23.85" hidden="false" customHeight="false" outlineLevel="0" collapsed="false">
      <c r="A3" s="20" t="s">
        <v>32</v>
      </c>
      <c r="C3" s="20" t="s">
        <v>33</v>
      </c>
      <c r="E3" s="20" t="s">
        <v>34</v>
      </c>
      <c r="G3" s="20" t="s">
        <v>35</v>
      </c>
      <c r="I3" s="20" t="s">
        <v>36</v>
      </c>
      <c r="K3" s="20" t="s">
        <v>37</v>
      </c>
    </row>
    <row r="4" customFormat="false" ht="20.85" hidden="false" customHeight="false" outlineLevel="0" collapsed="false">
      <c r="A4" s="21" t="n">
        <f aca="false">SUM(H8:H58)</f>
        <v>4649.04</v>
      </c>
      <c r="C4" s="21" t="n">
        <f aca="false">IFERROR(AVERAGE(H8:H58),0)</f>
        <v>91.1576470588235</v>
      </c>
      <c r="E4" s="22" t="n">
        <f aca="false">SUM(F8:F58)</f>
        <v>112</v>
      </c>
      <c r="G4" s="23" t="n">
        <f aca="false">IFERROR(AVERAGE(G8:G58),0)</f>
        <v>11.34</v>
      </c>
      <c r="I4" s="24" t="n">
        <f aca="false">COUNTA(A8:A58)</f>
        <v>5</v>
      </c>
      <c r="K4" s="25" t="n">
        <f aca="false">COUNTIF(L8:L58,"OVER")</f>
        <v>5</v>
      </c>
    </row>
    <row r="5" customFormat="false" ht="15" hidden="false" customHeight="false" outlineLevel="0" collapsed="false">
      <c r="A5" s="26"/>
      <c r="B5" s="26"/>
      <c r="C5" s="26"/>
      <c r="D5" s="26"/>
      <c r="E5" s="26"/>
      <c r="F5" s="26"/>
      <c r="G5" s="26"/>
      <c r="H5" s="26"/>
      <c r="I5" s="26"/>
      <c r="J5" s="26"/>
      <c r="K5" s="26"/>
      <c r="L5" s="26"/>
      <c r="M5" s="26"/>
      <c r="N5" s="26"/>
      <c r="O5" s="26"/>
      <c r="P5" s="26"/>
    </row>
    <row r="6" customFormat="false" ht="3.75" hidden="false" customHeight="true" outlineLevel="0" collapsed="false">
      <c r="N6" s="27" t="s">
        <v>38</v>
      </c>
      <c r="O6" s="27"/>
      <c r="P6" s="27"/>
    </row>
    <row r="7" customFormat="false" ht="37.5" hidden="false" customHeight="true" outlineLevel="0" collapsed="false">
      <c r="A7" s="28" t="s">
        <v>39</v>
      </c>
      <c r="B7" s="28" t="s">
        <v>40</v>
      </c>
      <c r="C7" s="28" t="s">
        <v>41</v>
      </c>
      <c r="D7" s="28" t="s">
        <v>42</v>
      </c>
      <c r="E7" s="28" t="s">
        <v>43</v>
      </c>
      <c r="F7" s="28" t="s">
        <v>44</v>
      </c>
      <c r="G7" s="28" t="s">
        <v>45</v>
      </c>
      <c r="H7" s="28" t="s">
        <v>46</v>
      </c>
      <c r="I7" s="28" t="s">
        <v>47</v>
      </c>
      <c r="J7" s="28" t="s">
        <v>48</v>
      </c>
      <c r="K7" s="28" t="s">
        <v>49</v>
      </c>
      <c r="L7" s="28" t="s">
        <v>50</v>
      </c>
      <c r="M7" s="28" t="s">
        <v>51</v>
      </c>
      <c r="N7" s="28" t="s">
        <v>52</v>
      </c>
      <c r="O7" s="28" t="s">
        <v>53</v>
      </c>
      <c r="P7" s="28" t="s">
        <v>54</v>
      </c>
    </row>
    <row r="8" customFormat="false" ht="15" hidden="false" customHeight="false" outlineLevel="0" collapsed="false">
      <c r="A8" s="29" t="s">
        <v>55</v>
      </c>
      <c r="B8" s="30" t="n">
        <v>46063</v>
      </c>
      <c r="C8" s="31" t="s">
        <v>56</v>
      </c>
      <c r="D8" s="29" t="n">
        <v>1240</v>
      </c>
      <c r="E8" s="29" t="n">
        <v>1258</v>
      </c>
      <c r="F8" s="32" t="n">
        <f aca="false">IFERROR(E8-D8,"")</f>
        <v>18</v>
      </c>
      <c r="G8" s="29" t="n">
        <v>8.5</v>
      </c>
      <c r="H8" s="33" t="n">
        <f aca="false">IFERROR(G8*F8*3.6,"")</f>
        <v>550.8</v>
      </c>
      <c r="I8" s="33" t="n">
        <f aca="false">IFERROR(H8,"")</f>
        <v>550.8</v>
      </c>
      <c r="J8" s="29" t="n">
        <v>3.2</v>
      </c>
      <c r="K8" s="29" t="n">
        <v>500</v>
      </c>
      <c r="L8" s="34" t="str">
        <f aca="false">IF(OR(H8="",K8=""),"",IF(H8&lt;=K8,"OK","OVER"))</f>
        <v>OVER</v>
      </c>
      <c r="M8" s="31" t="s">
        <v>57</v>
      </c>
      <c r="N8" s="29" t="n">
        <v>7.2</v>
      </c>
      <c r="O8" s="29" t="n">
        <v>12</v>
      </c>
      <c r="P8" s="29" t="s">
        <v>58</v>
      </c>
    </row>
    <row r="9" customFormat="false" ht="15" hidden="false" customHeight="false" outlineLevel="0" collapsed="false">
      <c r="A9" s="29" t="s">
        <v>55</v>
      </c>
      <c r="B9" s="30" t="n">
        <v>46064</v>
      </c>
      <c r="C9" s="31" t="s">
        <v>56</v>
      </c>
      <c r="D9" s="29" t="n">
        <v>1258</v>
      </c>
      <c r="E9" s="29" t="n">
        <v>1280</v>
      </c>
      <c r="F9" s="32" t="n">
        <f aca="false">IFERROR(E9-D9,"")</f>
        <v>22</v>
      </c>
      <c r="G9" s="29" t="n">
        <v>9.2</v>
      </c>
      <c r="H9" s="33" t="n">
        <f aca="false">IFERROR(G9*F9*3.6,"")</f>
        <v>728.64</v>
      </c>
      <c r="I9" s="33" t="n">
        <f aca="false">IFERROR(IF(A9="","",I8+H9),"")</f>
        <v>1279.44</v>
      </c>
      <c r="J9" s="29" t="n">
        <v>2.8</v>
      </c>
      <c r="K9" s="29" t="n">
        <v>500</v>
      </c>
      <c r="L9" s="34" t="str">
        <f aca="false">IF(OR(H9="",K9=""),"",IF(H9&lt;=K9,"OK","OVER"))</f>
        <v>OVER</v>
      </c>
      <c r="M9" s="31" t="s">
        <v>59</v>
      </c>
      <c r="N9" s="29" t="n">
        <v>7.1</v>
      </c>
      <c r="O9" s="29" t="n">
        <v>18</v>
      </c>
      <c r="P9" s="29" t="s">
        <v>58</v>
      </c>
    </row>
    <row r="10" customFormat="false" ht="15" hidden="false" customHeight="false" outlineLevel="0" collapsed="false">
      <c r="A10" s="29" t="s">
        <v>60</v>
      </c>
      <c r="B10" s="30" t="n">
        <v>46063</v>
      </c>
      <c r="C10" s="31" t="s">
        <v>61</v>
      </c>
      <c r="D10" s="29" t="n">
        <v>520</v>
      </c>
      <c r="E10" s="29" t="n">
        <v>544</v>
      </c>
      <c r="F10" s="32" t="n">
        <f aca="false">IFERROR(E10-D10,"")</f>
        <v>24</v>
      </c>
      <c r="G10" s="29" t="n">
        <v>12</v>
      </c>
      <c r="H10" s="33" t="n">
        <f aca="false">IFERROR(G10*F10*3.6,"")</f>
        <v>1036.8</v>
      </c>
      <c r="I10" s="33" t="n">
        <f aca="false">IFERROR(IF(A10="","",I9+H10),"")</f>
        <v>2316.24</v>
      </c>
      <c r="J10" s="29" t="n">
        <v>4.5</v>
      </c>
      <c r="K10" s="29" t="n">
        <v>800</v>
      </c>
      <c r="L10" s="34" t="str">
        <f aca="false">IF(OR(H10="",K10=""),"",IF(H10&lt;=K10,"OK","OVER"))</f>
        <v>OVER</v>
      </c>
      <c r="M10" s="31" t="s">
        <v>62</v>
      </c>
      <c r="N10" s="29" t="n">
        <v>7.4</v>
      </c>
      <c r="O10" s="29" t="n">
        <v>8</v>
      </c>
      <c r="P10" s="29" t="s">
        <v>58</v>
      </c>
    </row>
    <row r="11" customFormat="false" ht="15" hidden="false" customHeight="false" outlineLevel="0" collapsed="false">
      <c r="A11" s="29" t="s">
        <v>60</v>
      </c>
      <c r="B11" s="30" t="n">
        <v>46064</v>
      </c>
      <c r="C11" s="31" t="s">
        <v>61</v>
      </c>
      <c r="D11" s="29" t="n">
        <v>544</v>
      </c>
      <c r="E11" s="29" t="n">
        <v>568</v>
      </c>
      <c r="F11" s="32" t="n">
        <f aca="false">IFERROR(E11-D11,"")</f>
        <v>24</v>
      </c>
      <c r="G11" s="29" t="n">
        <v>12</v>
      </c>
      <c r="H11" s="33" t="n">
        <f aca="false">IFERROR(G11*F11*3.6,"")</f>
        <v>1036.8</v>
      </c>
      <c r="I11" s="33" t="n">
        <f aca="false">IFERROR(IF(A11="","",I10+H11),"")</f>
        <v>3353.04</v>
      </c>
      <c r="J11" s="29" t="n">
        <v>4.1</v>
      </c>
      <c r="K11" s="29" t="n">
        <v>800</v>
      </c>
      <c r="L11" s="34" t="str">
        <f aca="false">IF(OR(H11="",K11=""),"",IF(H11&lt;=K11,"OK","OVER"))</f>
        <v>OVER</v>
      </c>
      <c r="M11" s="31"/>
      <c r="N11" s="29" t="n">
        <v>7.3</v>
      </c>
      <c r="O11" s="29" t="n">
        <v>10</v>
      </c>
      <c r="P11" s="29" t="s">
        <v>58</v>
      </c>
    </row>
    <row r="12" customFormat="false" ht="23.85" hidden="false" customHeight="false" outlineLevel="0" collapsed="false">
      <c r="A12" s="29" t="s">
        <v>55</v>
      </c>
      <c r="B12" s="30" t="n">
        <v>46065</v>
      </c>
      <c r="C12" s="31" t="s">
        <v>56</v>
      </c>
      <c r="D12" s="29" t="n">
        <v>1280</v>
      </c>
      <c r="E12" s="29" t="n">
        <v>1304</v>
      </c>
      <c r="F12" s="32" t="n">
        <f aca="false">IFERROR(E12-D12,"")</f>
        <v>24</v>
      </c>
      <c r="G12" s="29" t="n">
        <v>15</v>
      </c>
      <c r="H12" s="33" t="n">
        <f aca="false">IFERROR(G12*F12*3.6,"")</f>
        <v>1296</v>
      </c>
      <c r="I12" s="33" t="n">
        <f aca="false">IFERROR(IF(A12="","",I11+H12),"")</f>
        <v>4649.04</v>
      </c>
      <c r="J12" s="29" t="n">
        <v>2</v>
      </c>
      <c r="K12" s="29" t="n">
        <v>500</v>
      </c>
      <c r="L12" s="34" t="str">
        <f aca="false">IF(OR(H12="",K12=""),"",IF(H12&lt;=K12,"OK","OVER"))</f>
        <v>OVER</v>
      </c>
      <c r="M12" s="31" t="s">
        <v>63</v>
      </c>
      <c r="N12" s="29" t="n">
        <v>6.9</v>
      </c>
      <c r="O12" s="29" t="n">
        <v>35</v>
      </c>
      <c r="P12" s="29" t="s">
        <v>64</v>
      </c>
    </row>
    <row r="13" customFormat="false" ht="15" hidden="false" customHeight="false" outlineLevel="0" collapsed="false">
      <c r="A13" s="29"/>
      <c r="B13" s="30"/>
      <c r="C13" s="31"/>
      <c r="D13" s="29"/>
      <c r="E13" s="29"/>
      <c r="F13" s="32" t="n">
        <f aca="false">IFERROR(E13-D13,"")</f>
        <v>0</v>
      </c>
      <c r="G13" s="29"/>
      <c r="H13" s="33" t="n">
        <f aca="false">IFERROR(G13*F13*3.6,"")</f>
        <v>0</v>
      </c>
      <c r="I13" s="33" t="str">
        <f aca="false">IFERROR(IF(A13="","",I12+H13),"")</f>
        <v/>
      </c>
      <c r="J13" s="29"/>
      <c r="K13" s="29"/>
      <c r="L13" s="34" t="str">
        <f aca="false">IF(OR(H13="",K13=""),"",IF(H13&lt;=K13,"OK","OVER"))</f>
        <v/>
      </c>
      <c r="M13" s="31"/>
      <c r="N13" s="29"/>
      <c r="O13" s="29"/>
      <c r="P13" s="29"/>
    </row>
    <row r="14" customFormat="false" ht="15" hidden="false" customHeight="false" outlineLevel="0" collapsed="false">
      <c r="A14" s="29"/>
      <c r="B14" s="30"/>
      <c r="C14" s="31"/>
      <c r="D14" s="29"/>
      <c r="E14" s="29"/>
      <c r="F14" s="32" t="n">
        <f aca="false">IFERROR(E14-D14,"")</f>
        <v>0</v>
      </c>
      <c r="G14" s="29"/>
      <c r="H14" s="33" t="n">
        <f aca="false">IFERROR(G14*F14*3.6,"")</f>
        <v>0</v>
      </c>
      <c r="I14" s="33" t="str">
        <f aca="false">IFERROR(IF(A14="","",I13+H14),"")</f>
        <v/>
      </c>
      <c r="J14" s="29"/>
      <c r="K14" s="29"/>
      <c r="L14" s="34" t="str">
        <f aca="false">IF(OR(H14="",K14=""),"",IF(H14&lt;=K14,"OK","OVER"))</f>
        <v/>
      </c>
      <c r="M14" s="31"/>
      <c r="N14" s="29"/>
      <c r="O14" s="29"/>
      <c r="P14" s="29"/>
    </row>
    <row r="15" customFormat="false" ht="15" hidden="false" customHeight="false" outlineLevel="0" collapsed="false">
      <c r="A15" s="29"/>
      <c r="B15" s="30"/>
      <c r="C15" s="31"/>
      <c r="D15" s="29"/>
      <c r="E15" s="29"/>
      <c r="F15" s="32" t="n">
        <f aca="false">IFERROR(E15-D15,"")</f>
        <v>0</v>
      </c>
      <c r="G15" s="29"/>
      <c r="H15" s="33" t="n">
        <f aca="false">IFERROR(G15*F15*3.6,"")</f>
        <v>0</v>
      </c>
      <c r="I15" s="33" t="str">
        <f aca="false">IFERROR(IF(A15="","",I14+H15),"")</f>
        <v/>
      </c>
      <c r="J15" s="29"/>
      <c r="K15" s="29"/>
      <c r="L15" s="34" t="str">
        <f aca="false">IF(OR(H15="",K15=""),"",IF(H15&lt;=K15,"OK","OVER"))</f>
        <v/>
      </c>
      <c r="M15" s="31"/>
      <c r="N15" s="29"/>
      <c r="O15" s="29"/>
      <c r="P15" s="29"/>
    </row>
    <row r="16" customFormat="false" ht="15" hidden="false" customHeight="false" outlineLevel="0" collapsed="false">
      <c r="A16" s="29"/>
      <c r="B16" s="30"/>
      <c r="C16" s="31"/>
      <c r="D16" s="29"/>
      <c r="E16" s="29"/>
      <c r="F16" s="32" t="n">
        <f aca="false">IFERROR(E16-D16,"")</f>
        <v>0</v>
      </c>
      <c r="G16" s="29"/>
      <c r="H16" s="33" t="n">
        <f aca="false">IFERROR(G16*F16*3.6,"")</f>
        <v>0</v>
      </c>
      <c r="I16" s="33" t="str">
        <f aca="false">IFERROR(IF(A16="","",I15+H16),"")</f>
        <v/>
      </c>
      <c r="J16" s="29"/>
      <c r="K16" s="29"/>
      <c r="L16" s="34" t="str">
        <f aca="false">IF(OR(H16="",K16=""),"",IF(H16&lt;=K16,"OK","OVER"))</f>
        <v/>
      </c>
      <c r="M16" s="31"/>
      <c r="N16" s="29"/>
      <c r="O16" s="29"/>
      <c r="P16" s="29"/>
    </row>
    <row r="17" customFormat="false" ht="15" hidden="false" customHeight="false" outlineLevel="0" collapsed="false">
      <c r="A17" s="29"/>
      <c r="B17" s="30"/>
      <c r="C17" s="31"/>
      <c r="D17" s="29"/>
      <c r="E17" s="29"/>
      <c r="F17" s="32" t="n">
        <f aca="false">IFERROR(E17-D17,"")</f>
        <v>0</v>
      </c>
      <c r="G17" s="29"/>
      <c r="H17" s="33" t="n">
        <f aca="false">IFERROR(G17*F17*3.6,"")</f>
        <v>0</v>
      </c>
      <c r="I17" s="33" t="str">
        <f aca="false">IFERROR(IF(A17="","",I16+H17),"")</f>
        <v/>
      </c>
      <c r="J17" s="29"/>
      <c r="K17" s="29"/>
      <c r="L17" s="34" t="str">
        <f aca="false">IF(OR(H17="",K17=""),"",IF(H17&lt;=K17,"OK","OVER"))</f>
        <v/>
      </c>
      <c r="M17" s="31"/>
      <c r="N17" s="29"/>
      <c r="O17" s="29"/>
      <c r="P17" s="29"/>
    </row>
    <row r="18" customFormat="false" ht="15" hidden="false" customHeight="false" outlineLevel="0" collapsed="false">
      <c r="A18" s="29"/>
      <c r="B18" s="30"/>
      <c r="C18" s="31"/>
      <c r="D18" s="29"/>
      <c r="E18" s="29"/>
      <c r="F18" s="32" t="n">
        <f aca="false">IFERROR(E18-D18,"")</f>
        <v>0</v>
      </c>
      <c r="G18" s="29"/>
      <c r="H18" s="33" t="n">
        <f aca="false">IFERROR(G18*F18*3.6,"")</f>
        <v>0</v>
      </c>
      <c r="I18" s="33" t="str">
        <f aca="false">IFERROR(IF(A18="","",I17+H18),"")</f>
        <v/>
      </c>
      <c r="J18" s="29"/>
      <c r="K18" s="29"/>
      <c r="L18" s="34" t="str">
        <f aca="false">IF(OR(H18="",K18=""),"",IF(H18&lt;=K18,"OK","OVER"))</f>
        <v/>
      </c>
      <c r="M18" s="31"/>
      <c r="N18" s="29"/>
      <c r="O18" s="29"/>
      <c r="P18" s="29"/>
    </row>
    <row r="19" customFormat="false" ht="15" hidden="false" customHeight="false" outlineLevel="0" collapsed="false">
      <c r="A19" s="29"/>
      <c r="B19" s="30"/>
      <c r="C19" s="31"/>
      <c r="D19" s="29"/>
      <c r="E19" s="29"/>
      <c r="F19" s="32" t="n">
        <f aca="false">IFERROR(E19-D19,"")</f>
        <v>0</v>
      </c>
      <c r="G19" s="29"/>
      <c r="H19" s="33" t="n">
        <f aca="false">IFERROR(G19*F19*3.6,"")</f>
        <v>0</v>
      </c>
      <c r="I19" s="33" t="str">
        <f aca="false">IFERROR(IF(A19="","",I18+H19),"")</f>
        <v/>
      </c>
      <c r="J19" s="29"/>
      <c r="K19" s="29"/>
      <c r="L19" s="34" t="str">
        <f aca="false">IF(OR(H19="",K19=""),"",IF(H19&lt;=K19,"OK","OVER"))</f>
        <v/>
      </c>
      <c r="M19" s="31"/>
      <c r="N19" s="29"/>
      <c r="O19" s="29"/>
      <c r="P19" s="29"/>
    </row>
    <row r="20" customFormat="false" ht="15" hidden="false" customHeight="false" outlineLevel="0" collapsed="false">
      <c r="A20" s="29"/>
      <c r="B20" s="30"/>
      <c r="C20" s="31"/>
      <c r="D20" s="29"/>
      <c r="E20" s="29"/>
      <c r="F20" s="32" t="n">
        <f aca="false">IFERROR(E20-D20,"")</f>
        <v>0</v>
      </c>
      <c r="G20" s="29"/>
      <c r="H20" s="33" t="n">
        <f aca="false">IFERROR(G20*F20*3.6,"")</f>
        <v>0</v>
      </c>
      <c r="I20" s="33" t="str">
        <f aca="false">IFERROR(IF(A20="","",I19+H20),"")</f>
        <v/>
      </c>
      <c r="J20" s="29"/>
      <c r="K20" s="29"/>
      <c r="L20" s="34" t="str">
        <f aca="false">IF(OR(H20="",K20=""),"",IF(H20&lt;=K20,"OK","OVER"))</f>
        <v/>
      </c>
      <c r="M20" s="31"/>
      <c r="N20" s="29"/>
      <c r="O20" s="29"/>
      <c r="P20" s="29"/>
    </row>
    <row r="21" customFormat="false" ht="15" hidden="false" customHeight="false" outlineLevel="0" collapsed="false">
      <c r="A21" s="29"/>
      <c r="B21" s="30"/>
      <c r="C21" s="31"/>
      <c r="D21" s="29"/>
      <c r="E21" s="29"/>
      <c r="F21" s="32" t="n">
        <f aca="false">IFERROR(E21-D21,"")</f>
        <v>0</v>
      </c>
      <c r="G21" s="29"/>
      <c r="H21" s="33" t="n">
        <f aca="false">IFERROR(G21*F21*3.6,"")</f>
        <v>0</v>
      </c>
      <c r="I21" s="33" t="str">
        <f aca="false">IFERROR(IF(A21="","",I20+H21),"")</f>
        <v/>
      </c>
      <c r="J21" s="29"/>
      <c r="K21" s="29"/>
      <c r="L21" s="34" t="str">
        <f aca="false">IF(OR(H21="",K21=""),"",IF(H21&lt;=K21,"OK","OVER"))</f>
        <v/>
      </c>
      <c r="M21" s="31"/>
      <c r="N21" s="29"/>
      <c r="O21" s="29"/>
      <c r="P21" s="29"/>
    </row>
    <row r="22" customFormat="false" ht="15" hidden="false" customHeight="false" outlineLevel="0" collapsed="false">
      <c r="A22" s="29"/>
      <c r="B22" s="30"/>
      <c r="C22" s="31"/>
      <c r="D22" s="29"/>
      <c r="E22" s="29"/>
      <c r="F22" s="32" t="n">
        <f aca="false">IFERROR(E22-D22,"")</f>
        <v>0</v>
      </c>
      <c r="G22" s="29"/>
      <c r="H22" s="33" t="n">
        <f aca="false">IFERROR(G22*F22*3.6,"")</f>
        <v>0</v>
      </c>
      <c r="I22" s="33" t="str">
        <f aca="false">IFERROR(IF(A22="","",I21+H22),"")</f>
        <v/>
      </c>
      <c r="J22" s="29"/>
      <c r="K22" s="29"/>
      <c r="L22" s="34" t="str">
        <f aca="false">IF(OR(H22="",K22=""),"",IF(H22&lt;=K22,"OK","OVER"))</f>
        <v/>
      </c>
      <c r="M22" s="31"/>
      <c r="N22" s="29"/>
      <c r="O22" s="29"/>
      <c r="P22" s="29"/>
    </row>
    <row r="23" customFormat="false" ht="15" hidden="false" customHeight="false" outlineLevel="0" collapsed="false">
      <c r="A23" s="29"/>
      <c r="B23" s="30"/>
      <c r="C23" s="31"/>
      <c r="D23" s="29"/>
      <c r="E23" s="29"/>
      <c r="F23" s="32" t="n">
        <f aca="false">IFERROR(E23-D23,"")</f>
        <v>0</v>
      </c>
      <c r="G23" s="29"/>
      <c r="H23" s="33" t="n">
        <f aca="false">IFERROR(G23*F23*3.6,"")</f>
        <v>0</v>
      </c>
      <c r="I23" s="33" t="str">
        <f aca="false">IFERROR(IF(A23="","",I22+H23),"")</f>
        <v/>
      </c>
      <c r="J23" s="29"/>
      <c r="K23" s="29"/>
      <c r="L23" s="34" t="str">
        <f aca="false">IF(OR(H23="",K23=""),"",IF(H23&lt;=K23,"OK","OVER"))</f>
        <v/>
      </c>
      <c r="M23" s="31"/>
      <c r="N23" s="29"/>
      <c r="O23" s="29"/>
      <c r="P23" s="29"/>
    </row>
    <row r="24" customFormat="false" ht="15" hidden="false" customHeight="false" outlineLevel="0" collapsed="false">
      <c r="A24" s="29"/>
      <c r="B24" s="30"/>
      <c r="C24" s="31"/>
      <c r="D24" s="29"/>
      <c r="E24" s="29"/>
      <c r="F24" s="32" t="n">
        <f aca="false">IFERROR(E24-D24,"")</f>
        <v>0</v>
      </c>
      <c r="G24" s="29"/>
      <c r="H24" s="33" t="n">
        <f aca="false">IFERROR(G24*F24*3.6,"")</f>
        <v>0</v>
      </c>
      <c r="I24" s="33" t="str">
        <f aca="false">IFERROR(IF(A24="","",I23+H24),"")</f>
        <v/>
      </c>
      <c r="J24" s="29"/>
      <c r="K24" s="29"/>
      <c r="L24" s="34" t="str">
        <f aca="false">IF(OR(H24="",K24=""),"",IF(H24&lt;=K24,"OK","OVER"))</f>
        <v/>
      </c>
      <c r="M24" s="31"/>
      <c r="N24" s="29"/>
      <c r="O24" s="29"/>
      <c r="P24" s="29"/>
    </row>
    <row r="25" customFormat="false" ht="15" hidden="false" customHeight="false" outlineLevel="0" collapsed="false">
      <c r="A25" s="29"/>
      <c r="B25" s="30"/>
      <c r="C25" s="31"/>
      <c r="D25" s="29"/>
      <c r="E25" s="29"/>
      <c r="F25" s="32" t="n">
        <f aca="false">IFERROR(E25-D25,"")</f>
        <v>0</v>
      </c>
      <c r="G25" s="29"/>
      <c r="H25" s="33" t="n">
        <f aca="false">IFERROR(G25*F25*3.6,"")</f>
        <v>0</v>
      </c>
      <c r="I25" s="33" t="str">
        <f aca="false">IFERROR(IF(A25="","",I24+H25),"")</f>
        <v/>
      </c>
      <c r="J25" s="29"/>
      <c r="K25" s="29"/>
      <c r="L25" s="34" t="str">
        <f aca="false">IF(OR(H25="",K25=""),"",IF(H25&lt;=K25,"OK","OVER"))</f>
        <v/>
      </c>
      <c r="M25" s="31"/>
      <c r="N25" s="29"/>
      <c r="O25" s="29"/>
      <c r="P25" s="29"/>
    </row>
    <row r="26" customFormat="false" ht="15" hidden="false" customHeight="false" outlineLevel="0" collapsed="false">
      <c r="A26" s="29"/>
      <c r="B26" s="30"/>
      <c r="C26" s="31"/>
      <c r="D26" s="29"/>
      <c r="E26" s="29"/>
      <c r="F26" s="32" t="n">
        <f aca="false">IFERROR(E26-D26,"")</f>
        <v>0</v>
      </c>
      <c r="G26" s="29"/>
      <c r="H26" s="33" t="n">
        <f aca="false">IFERROR(G26*F26*3.6,"")</f>
        <v>0</v>
      </c>
      <c r="I26" s="33" t="str">
        <f aca="false">IFERROR(IF(A26="","",I25+H26),"")</f>
        <v/>
      </c>
      <c r="J26" s="29"/>
      <c r="K26" s="29"/>
      <c r="L26" s="34" t="str">
        <f aca="false">IF(OR(H26="",K26=""),"",IF(H26&lt;=K26,"OK","OVER"))</f>
        <v/>
      </c>
      <c r="M26" s="31"/>
      <c r="N26" s="29"/>
      <c r="O26" s="29"/>
      <c r="P26" s="29"/>
    </row>
    <row r="27" customFormat="false" ht="15" hidden="false" customHeight="false" outlineLevel="0" collapsed="false">
      <c r="A27" s="29"/>
      <c r="B27" s="30"/>
      <c r="C27" s="31"/>
      <c r="D27" s="29"/>
      <c r="E27" s="29"/>
      <c r="F27" s="32" t="n">
        <f aca="false">IFERROR(E27-D27,"")</f>
        <v>0</v>
      </c>
      <c r="G27" s="29"/>
      <c r="H27" s="33" t="n">
        <f aca="false">IFERROR(G27*F27*3.6,"")</f>
        <v>0</v>
      </c>
      <c r="I27" s="33" t="str">
        <f aca="false">IFERROR(IF(A27="","",I26+H27),"")</f>
        <v/>
      </c>
      <c r="J27" s="29"/>
      <c r="K27" s="29"/>
      <c r="L27" s="34" t="str">
        <f aca="false">IF(OR(H27="",K27=""),"",IF(H27&lt;=K27,"OK","OVER"))</f>
        <v/>
      </c>
      <c r="M27" s="31"/>
      <c r="N27" s="29"/>
      <c r="O27" s="29"/>
      <c r="P27" s="29"/>
    </row>
    <row r="28" customFormat="false" ht="15" hidden="false" customHeight="false" outlineLevel="0" collapsed="false">
      <c r="A28" s="29"/>
      <c r="B28" s="30"/>
      <c r="C28" s="31"/>
      <c r="D28" s="29"/>
      <c r="E28" s="29"/>
      <c r="F28" s="32" t="n">
        <f aca="false">IFERROR(E28-D28,"")</f>
        <v>0</v>
      </c>
      <c r="G28" s="29"/>
      <c r="H28" s="33" t="n">
        <f aca="false">IFERROR(G28*F28*3.6,"")</f>
        <v>0</v>
      </c>
      <c r="I28" s="33" t="str">
        <f aca="false">IFERROR(IF(A28="","",I27+H28),"")</f>
        <v/>
      </c>
      <c r="J28" s="29"/>
      <c r="K28" s="29"/>
      <c r="L28" s="34" t="str">
        <f aca="false">IF(OR(H28="",K28=""),"",IF(H28&lt;=K28,"OK","OVER"))</f>
        <v/>
      </c>
      <c r="M28" s="31"/>
      <c r="N28" s="29"/>
      <c r="O28" s="29"/>
      <c r="P28" s="29"/>
    </row>
    <row r="29" customFormat="false" ht="15" hidden="false" customHeight="false" outlineLevel="0" collapsed="false">
      <c r="A29" s="29"/>
      <c r="B29" s="30"/>
      <c r="C29" s="31"/>
      <c r="D29" s="29"/>
      <c r="E29" s="29"/>
      <c r="F29" s="32" t="n">
        <f aca="false">IFERROR(E29-D29,"")</f>
        <v>0</v>
      </c>
      <c r="G29" s="29"/>
      <c r="H29" s="33" t="n">
        <f aca="false">IFERROR(G29*F29*3.6,"")</f>
        <v>0</v>
      </c>
      <c r="I29" s="33" t="str">
        <f aca="false">IFERROR(IF(A29="","",I28+H29),"")</f>
        <v/>
      </c>
      <c r="J29" s="29"/>
      <c r="K29" s="29"/>
      <c r="L29" s="34" t="str">
        <f aca="false">IF(OR(H29="",K29=""),"",IF(H29&lt;=K29,"OK","OVER"))</f>
        <v/>
      </c>
      <c r="M29" s="31"/>
      <c r="N29" s="29"/>
      <c r="O29" s="29"/>
      <c r="P29" s="29"/>
    </row>
    <row r="30" customFormat="false" ht="15" hidden="false" customHeight="false" outlineLevel="0" collapsed="false">
      <c r="A30" s="29"/>
      <c r="B30" s="30"/>
      <c r="C30" s="31"/>
      <c r="D30" s="29"/>
      <c r="E30" s="29"/>
      <c r="F30" s="32" t="n">
        <f aca="false">IFERROR(E30-D30,"")</f>
        <v>0</v>
      </c>
      <c r="G30" s="29"/>
      <c r="H30" s="33" t="n">
        <f aca="false">IFERROR(G30*F30*3.6,"")</f>
        <v>0</v>
      </c>
      <c r="I30" s="33" t="str">
        <f aca="false">IFERROR(IF(A30="","",I29+H30),"")</f>
        <v/>
      </c>
      <c r="J30" s="29"/>
      <c r="K30" s="29"/>
      <c r="L30" s="34" t="str">
        <f aca="false">IF(OR(H30="",K30=""),"",IF(H30&lt;=K30,"OK","OVER"))</f>
        <v/>
      </c>
      <c r="M30" s="31"/>
      <c r="N30" s="29"/>
      <c r="O30" s="29"/>
      <c r="P30" s="29"/>
    </row>
    <row r="31" customFormat="false" ht="15" hidden="false" customHeight="false" outlineLevel="0" collapsed="false">
      <c r="A31" s="29"/>
      <c r="B31" s="30"/>
      <c r="C31" s="31"/>
      <c r="D31" s="29"/>
      <c r="E31" s="29"/>
      <c r="F31" s="32" t="n">
        <f aca="false">IFERROR(E31-D31,"")</f>
        <v>0</v>
      </c>
      <c r="G31" s="29"/>
      <c r="H31" s="33" t="n">
        <f aca="false">IFERROR(G31*F31*3.6,"")</f>
        <v>0</v>
      </c>
      <c r="I31" s="33" t="str">
        <f aca="false">IFERROR(IF(A31="","",I30+H31),"")</f>
        <v/>
      </c>
      <c r="J31" s="29"/>
      <c r="K31" s="29"/>
      <c r="L31" s="34" t="str">
        <f aca="false">IF(OR(H31="",K31=""),"",IF(H31&lt;=K31,"OK","OVER"))</f>
        <v/>
      </c>
      <c r="M31" s="31"/>
      <c r="N31" s="29"/>
      <c r="O31" s="29"/>
      <c r="P31" s="29"/>
    </row>
    <row r="32" customFormat="false" ht="15" hidden="false" customHeight="false" outlineLevel="0" collapsed="false">
      <c r="A32" s="29"/>
      <c r="B32" s="30"/>
      <c r="C32" s="31"/>
      <c r="D32" s="29"/>
      <c r="E32" s="29"/>
      <c r="F32" s="32" t="n">
        <f aca="false">IFERROR(E32-D32,"")</f>
        <v>0</v>
      </c>
      <c r="G32" s="29"/>
      <c r="H32" s="33" t="n">
        <f aca="false">IFERROR(G32*F32*3.6,"")</f>
        <v>0</v>
      </c>
      <c r="I32" s="33" t="str">
        <f aca="false">IFERROR(IF(A32="","",I31+H32),"")</f>
        <v/>
      </c>
      <c r="J32" s="29"/>
      <c r="K32" s="29"/>
      <c r="L32" s="34" t="str">
        <f aca="false">IF(OR(H32="",K32=""),"",IF(H32&lt;=K32,"OK","OVER"))</f>
        <v/>
      </c>
      <c r="M32" s="31"/>
      <c r="N32" s="29"/>
      <c r="O32" s="29"/>
      <c r="P32" s="29"/>
    </row>
    <row r="33" customFormat="false" ht="15" hidden="false" customHeight="false" outlineLevel="0" collapsed="false">
      <c r="A33" s="29"/>
      <c r="B33" s="30"/>
      <c r="C33" s="31"/>
      <c r="D33" s="29"/>
      <c r="E33" s="29"/>
      <c r="F33" s="32" t="n">
        <f aca="false">IFERROR(E33-D33,"")</f>
        <v>0</v>
      </c>
      <c r="G33" s="29"/>
      <c r="H33" s="33" t="n">
        <f aca="false">IFERROR(G33*F33*3.6,"")</f>
        <v>0</v>
      </c>
      <c r="I33" s="33" t="str">
        <f aca="false">IFERROR(IF(A33="","",I32+H33),"")</f>
        <v/>
      </c>
      <c r="J33" s="29"/>
      <c r="K33" s="29"/>
      <c r="L33" s="34" t="str">
        <f aca="false">IF(OR(H33="",K33=""),"",IF(H33&lt;=K33,"OK","OVER"))</f>
        <v/>
      </c>
      <c r="M33" s="31"/>
      <c r="N33" s="29"/>
      <c r="O33" s="29"/>
      <c r="P33" s="29"/>
    </row>
    <row r="34" customFormat="false" ht="15" hidden="false" customHeight="false" outlineLevel="0" collapsed="false">
      <c r="A34" s="29"/>
      <c r="B34" s="30"/>
      <c r="C34" s="31"/>
      <c r="D34" s="29"/>
      <c r="E34" s="29"/>
      <c r="F34" s="32" t="n">
        <f aca="false">IFERROR(E34-D34,"")</f>
        <v>0</v>
      </c>
      <c r="G34" s="29"/>
      <c r="H34" s="33" t="n">
        <f aca="false">IFERROR(G34*F34*3.6,"")</f>
        <v>0</v>
      </c>
      <c r="I34" s="33" t="str">
        <f aca="false">IFERROR(IF(A34="","",I33+H34),"")</f>
        <v/>
      </c>
      <c r="J34" s="29"/>
      <c r="K34" s="29"/>
      <c r="L34" s="34" t="str">
        <f aca="false">IF(OR(H34="",K34=""),"",IF(H34&lt;=K34,"OK","OVER"))</f>
        <v/>
      </c>
      <c r="M34" s="31"/>
      <c r="N34" s="29"/>
      <c r="O34" s="29"/>
      <c r="P34" s="29"/>
    </row>
    <row r="35" customFormat="false" ht="15" hidden="false" customHeight="false" outlineLevel="0" collapsed="false">
      <c r="A35" s="29"/>
      <c r="B35" s="30"/>
      <c r="C35" s="31"/>
      <c r="D35" s="29"/>
      <c r="E35" s="29"/>
      <c r="F35" s="32" t="n">
        <f aca="false">IFERROR(E35-D35,"")</f>
        <v>0</v>
      </c>
      <c r="G35" s="29"/>
      <c r="H35" s="33" t="n">
        <f aca="false">IFERROR(G35*F35*3.6,"")</f>
        <v>0</v>
      </c>
      <c r="I35" s="33" t="str">
        <f aca="false">IFERROR(IF(A35="","",I34+H35),"")</f>
        <v/>
      </c>
      <c r="J35" s="29"/>
      <c r="K35" s="29"/>
      <c r="L35" s="34" t="str">
        <f aca="false">IF(OR(H35="",K35=""),"",IF(H35&lt;=K35,"OK","OVER"))</f>
        <v/>
      </c>
      <c r="M35" s="31"/>
      <c r="N35" s="29"/>
      <c r="O35" s="29"/>
      <c r="P35" s="29"/>
    </row>
    <row r="36" customFormat="false" ht="15" hidden="false" customHeight="false" outlineLevel="0" collapsed="false">
      <c r="A36" s="29"/>
      <c r="B36" s="30"/>
      <c r="C36" s="31"/>
      <c r="D36" s="29"/>
      <c r="E36" s="29"/>
      <c r="F36" s="32" t="n">
        <f aca="false">IFERROR(E36-D36,"")</f>
        <v>0</v>
      </c>
      <c r="G36" s="29"/>
      <c r="H36" s="33" t="n">
        <f aca="false">IFERROR(G36*F36*3.6,"")</f>
        <v>0</v>
      </c>
      <c r="I36" s="33" t="str">
        <f aca="false">IFERROR(IF(A36="","",I35+H36),"")</f>
        <v/>
      </c>
      <c r="J36" s="29"/>
      <c r="K36" s="29"/>
      <c r="L36" s="34" t="str">
        <f aca="false">IF(OR(H36="",K36=""),"",IF(H36&lt;=K36,"OK","OVER"))</f>
        <v/>
      </c>
      <c r="M36" s="31"/>
      <c r="N36" s="29"/>
      <c r="O36" s="29"/>
      <c r="P36" s="29"/>
    </row>
    <row r="37" customFormat="false" ht="15" hidden="false" customHeight="false" outlineLevel="0" collapsed="false">
      <c r="A37" s="29"/>
      <c r="B37" s="30"/>
      <c r="C37" s="31"/>
      <c r="D37" s="29"/>
      <c r="E37" s="29"/>
      <c r="F37" s="32" t="n">
        <f aca="false">IFERROR(E37-D37,"")</f>
        <v>0</v>
      </c>
      <c r="G37" s="29"/>
      <c r="H37" s="33" t="n">
        <f aca="false">IFERROR(G37*F37*3.6,"")</f>
        <v>0</v>
      </c>
      <c r="I37" s="33" t="str">
        <f aca="false">IFERROR(IF(A37="","",I36+H37),"")</f>
        <v/>
      </c>
      <c r="J37" s="29"/>
      <c r="K37" s="29"/>
      <c r="L37" s="34" t="str">
        <f aca="false">IF(OR(H37="",K37=""),"",IF(H37&lt;=K37,"OK","OVER"))</f>
        <v/>
      </c>
      <c r="M37" s="31"/>
      <c r="N37" s="29"/>
      <c r="O37" s="29"/>
      <c r="P37" s="29"/>
    </row>
    <row r="38" customFormat="false" ht="15" hidden="false" customHeight="false" outlineLevel="0" collapsed="false">
      <c r="A38" s="29"/>
      <c r="B38" s="30"/>
      <c r="C38" s="31"/>
      <c r="D38" s="29"/>
      <c r="E38" s="29"/>
      <c r="F38" s="32" t="n">
        <f aca="false">IFERROR(E38-D38,"")</f>
        <v>0</v>
      </c>
      <c r="G38" s="29"/>
      <c r="H38" s="33" t="n">
        <f aca="false">IFERROR(G38*F38*3.6,"")</f>
        <v>0</v>
      </c>
      <c r="I38" s="33" t="str">
        <f aca="false">IFERROR(IF(A38="","",I37+H38),"")</f>
        <v/>
      </c>
      <c r="J38" s="29"/>
      <c r="K38" s="29"/>
      <c r="L38" s="34" t="str">
        <f aca="false">IF(OR(H38="",K38=""),"",IF(H38&lt;=K38,"OK","OVER"))</f>
        <v/>
      </c>
      <c r="M38" s="31"/>
      <c r="N38" s="29"/>
      <c r="O38" s="29"/>
      <c r="P38" s="29"/>
    </row>
    <row r="39" customFormat="false" ht="15" hidden="false" customHeight="false" outlineLevel="0" collapsed="false">
      <c r="A39" s="29"/>
      <c r="B39" s="30"/>
      <c r="C39" s="31"/>
      <c r="D39" s="29"/>
      <c r="E39" s="29"/>
      <c r="F39" s="32" t="n">
        <f aca="false">IFERROR(E39-D39,"")</f>
        <v>0</v>
      </c>
      <c r="G39" s="29"/>
      <c r="H39" s="33" t="n">
        <f aca="false">IFERROR(G39*F39*3.6,"")</f>
        <v>0</v>
      </c>
      <c r="I39" s="33" t="str">
        <f aca="false">IFERROR(IF(A39="","",I38+H39),"")</f>
        <v/>
      </c>
      <c r="J39" s="29"/>
      <c r="K39" s="29"/>
      <c r="L39" s="34" t="str">
        <f aca="false">IF(OR(H39="",K39=""),"",IF(H39&lt;=K39,"OK","OVER"))</f>
        <v/>
      </c>
      <c r="M39" s="31"/>
      <c r="N39" s="29"/>
      <c r="O39" s="29"/>
      <c r="P39" s="29"/>
    </row>
    <row r="40" customFormat="false" ht="15" hidden="false" customHeight="false" outlineLevel="0" collapsed="false">
      <c r="A40" s="29"/>
      <c r="B40" s="30"/>
      <c r="C40" s="31"/>
      <c r="D40" s="29"/>
      <c r="E40" s="29"/>
      <c r="F40" s="32" t="n">
        <f aca="false">IFERROR(E40-D40,"")</f>
        <v>0</v>
      </c>
      <c r="G40" s="29"/>
      <c r="H40" s="33" t="n">
        <f aca="false">IFERROR(G40*F40*3.6,"")</f>
        <v>0</v>
      </c>
      <c r="I40" s="33" t="str">
        <f aca="false">IFERROR(IF(A40="","",I39+H40),"")</f>
        <v/>
      </c>
      <c r="J40" s="29"/>
      <c r="K40" s="29"/>
      <c r="L40" s="34" t="str">
        <f aca="false">IF(OR(H40="",K40=""),"",IF(H40&lt;=K40,"OK","OVER"))</f>
        <v/>
      </c>
      <c r="M40" s="31"/>
      <c r="N40" s="29"/>
      <c r="O40" s="29"/>
      <c r="P40" s="29"/>
    </row>
    <row r="41" customFormat="false" ht="15" hidden="false" customHeight="false" outlineLevel="0" collapsed="false">
      <c r="A41" s="29"/>
      <c r="B41" s="30"/>
      <c r="C41" s="31"/>
      <c r="D41" s="29"/>
      <c r="E41" s="29"/>
      <c r="F41" s="32" t="n">
        <f aca="false">IFERROR(E41-D41,"")</f>
        <v>0</v>
      </c>
      <c r="G41" s="29"/>
      <c r="H41" s="33" t="n">
        <f aca="false">IFERROR(G41*F41*3.6,"")</f>
        <v>0</v>
      </c>
      <c r="I41" s="33" t="str">
        <f aca="false">IFERROR(IF(A41="","",I40+H41),"")</f>
        <v/>
      </c>
      <c r="J41" s="29"/>
      <c r="K41" s="29"/>
      <c r="L41" s="34" t="str">
        <f aca="false">IF(OR(H41="",K41=""),"",IF(H41&lt;=K41,"OK","OVER"))</f>
        <v/>
      </c>
      <c r="M41" s="31"/>
      <c r="N41" s="29"/>
      <c r="O41" s="29"/>
      <c r="P41" s="29"/>
    </row>
    <row r="42" customFormat="false" ht="15" hidden="false" customHeight="false" outlineLevel="0" collapsed="false">
      <c r="A42" s="29"/>
      <c r="B42" s="30"/>
      <c r="C42" s="31"/>
      <c r="D42" s="29"/>
      <c r="E42" s="29"/>
      <c r="F42" s="32" t="n">
        <f aca="false">IFERROR(E42-D42,"")</f>
        <v>0</v>
      </c>
      <c r="G42" s="29"/>
      <c r="H42" s="33" t="n">
        <f aca="false">IFERROR(G42*F42*3.6,"")</f>
        <v>0</v>
      </c>
      <c r="I42" s="33" t="str">
        <f aca="false">IFERROR(IF(A42="","",I41+H42),"")</f>
        <v/>
      </c>
      <c r="J42" s="29"/>
      <c r="K42" s="29"/>
      <c r="L42" s="34" t="str">
        <f aca="false">IF(OR(H42="",K42=""),"",IF(H42&lt;=K42,"OK","OVER"))</f>
        <v/>
      </c>
      <c r="M42" s="31"/>
      <c r="N42" s="29"/>
      <c r="O42" s="29"/>
      <c r="P42" s="29"/>
    </row>
    <row r="43" customFormat="false" ht="15" hidden="false" customHeight="false" outlineLevel="0" collapsed="false">
      <c r="A43" s="29"/>
      <c r="B43" s="30"/>
      <c r="C43" s="31"/>
      <c r="D43" s="29"/>
      <c r="E43" s="29"/>
      <c r="F43" s="32" t="n">
        <f aca="false">IFERROR(E43-D43,"")</f>
        <v>0</v>
      </c>
      <c r="G43" s="29"/>
      <c r="H43" s="33" t="n">
        <f aca="false">IFERROR(G43*F43*3.6,"")</f>
        <v>0</v>
      </c>
      <c r="I43" s="33" t="str">
        <f aca="false">IFERROR(IF(A43="","",I42+H43),"")</f>
        <v/>
      </c>
      <c r="J43" s="29"/>
      <c r="K43" s="29"/>
      <c r="L43" s="34" t="str">
        <f aca="false">IF(OR(H43="",K43=""),"",IF(H43&lt;=K43,"OK","OVER"))</f>
        <v/>
      </c>
      <c r="M43" s="31"/>
      <c r="N43" s="29"/>
      <c r="O43" s="29"/>
      <c r="P43" s="29"/>
    </row>
    <row r="44" customFormat="false" ht="15" hidden="false" customHeight="false" outlineLevel="0" collapsed="false">
      <c r="A44" s="29"/>
      <c r="B44" s="30"/>
      <c r="C44" s="31"/>
      <c r="D44" s="29"/>
      <c r="E44" s="29"/>
      <c r="F44" s="32" t="n">
        <f aca="false">IFERROR(E44-D44,"")</f>
        <v>0</v>
      </c>
      <c r="G44" s="29"/>
      <c r="H44" s="33" t="n">
        <f aca="false">IFERROR(G44*F44*3.6,"")</f>
        <v>0</v>
      </c>
      <c r="I44" s="33" t="str">
        <f aca="false">IFERROR(IF(A44="","",I43+H44),"")</f>
        <v/>
      </c>
      <c r="J44" s="29"/>
      <c r="K44" s="29"/>
      <c r="L44" s="34" t="str">
        <f aca="false">IF(OR(H44="",K44=""),"",IF(H44&lt;=K44,"OK","OVER"))</f>
        <v/>
      </c>
      <c r="M44" s="31"/>
      <c r="N44" s="29"/>
      <c r="O44" s="29"/>
      <c r="P44" s="29"/>
    </row>
    <row r="45" customFormat="false" ht="15" hidden="false" customHeight="false" outlineLevel="0" collapsed="false">
      <c r="A45" s="29"/>
      <c r="B45" s="30"/>
      <c r="C45" s="31"/>
      <c r="D45" s="29"/>
      <c r="E45" s="29"/>
      <c r="F45" s="32" t="n">
        <f aca="false">IFERROR(E45-D45,"")</f>
        <v>0</v>
      </c>
      <c r="G45" s="29"/>
      <c r="H45" s="33" t="n">
        <f aca="false">IFERROR(G45*F45*3.6,"")</f>
        <v>0</v>
      </c>
      <c r="I45" s="33" t="str">
        <f aca="false">IFERROR(IF(A45="","",I44+H45),"")</f>
        <v/>
      </c>
      <c r="J45" s="29"/>
      <c r="K45" s="29"/>
      <c r="L45" s="34" t="str">
        <f aca="false">IF(OR(H45="",K45=""),"",IF(H45&lt;=K45,"OK","OVER"))</f>
        <v/>
      </c>
      <c r="M45" s="31"/>
      <c r="N45" s="29"/>
      <c r="O45" s="29"/>
      <c r="P45" s="29"/>
    </row>
    <row r="46" customFormat="false" ht="15" hidden="false" customHeight="false" outlineLevel="0" collapsed="false">
      <c r="A46" s="29"/>
      <c r="B46" s="30"/>
      <c r="C46" s="31"/>
      <c r="D46" s="29"/>
      <c r="E46" s="29"/>
      <c r="F46" s="32" t="n">
        <f aca="false">IFERROR(E46-D46,"")</f>
        <v>0</v>
      </c>
      <c r="G46" s="29"/>
      <c r="H46" s="33" t="n">
        <f aca="false">IFERROR(G46*F46*3.6,"")</f>
        <v>0</v>
      </c>
      <c r="I46" s="33" t="str">
        <f aca="false">IFERROR(IF(A46="","",I45+H46),"")</f>
        <v/>
      </c>
      <c r="J46" s="29"/>
      <c r="K46" s="29"/>
      <c r="L46" s="34" t="str">
        <f aca="false">IF(OR(H46="",K46=""),"",IF(H46&lt;=K46,"OK","OVER"))</f>
        <v/>
      </c>
      <c r="M46" s="31"/>
      <c r="N46" s="29"/>
      <c r="O46" s="29"/>
      <c r="P46" s="29"/>
    </row>
    <row r="47" customFormat="false" ht="15" hidden="false" customHeight="false" outlineLevel="0" collapsed="false">
      <c r="A47" s="29"/>
      <c r="B47" s="30"/>
      <c r="C47" s="31"/>
      <c r="D47" s="29"/>
      <c r="E47" s="29"/>
      <c r="F47" s="32" t="n">
        <f aca="false">IFERROR(E47-D47,"")</f>
        <v>0</v>
      </c>
      <c r="G47" s="29"/>
      <c r="H47" s="33" t="n">
        <f aca="false">IFERROR(G47*F47*3.6,"")</f>
        <v>0</v>
      </c>
      <c r="I47" s="33" t="str">
        <f aca="false">IFERROR(IF(A47="","",I46+H47),"")</f>
        <v/>
      </c>
      <c r="J47" s="29"/>
      <c r="K47" s="29"/>
      <c r="L47" s="34" t="str">
        <f aca="false">IF(OR(H47="",K47=""),"",IF(H47&lt;=K47,"OK","OVER"))</f>
        <v/>
      </c>
      <c r="M47" s="31"/>
      <c r="N47" s="29"/>
      <c r="O47" s="29"/>
      <c r="P47" s="29"/>
    </row>
    <row r="48" customFormat="false" ht="15" hidden="false" customHeight="false" outlineLevel="0" collapsed="false">
      <c r="A48" s="29"/>
      <c r="B48" s="30"/>
      <c r="C48" s="31"/>
      <c r="D48" s="29"/>
      <c r="E48" s="29"/>
      <c r="F48" s="32" t="n">
        <f aca="false">IFERROR(E48-D48,"")</f>
        <v>0</v>
      </c>
      <c r="G48" s="29"/>
      <c r="H48" s="33" t="n">
        <f aca="false">IFERROR(G48*F48*3.6,"")</f>
        <v>0</v>
      </c>
      <c r="I48" s="33" t="str">
        <f aca="false">IFERROR(IF(A48="","",I47+H48),"")</f>
        <v/>
      </c>
      <c r="J48" s="29"/>
      <c r="K48" s="29"/>
      <c r="L48" s="34" t="str">
        <f aca="false">IF(OR(H48="",K48=""),"",IF(H48&lt;=K48,"OK","OVER"))</f>
        <v/>
      </c>
      <c r="M48" s="31"/>
      <c r="N48" s="29"/>
      <c r="O48" s="29"/>
      <c r="P48" s="29"/>
    </row>
    <row r="49" customFormat="false" ht="15" hidden="false" customHeight="false" outlineLevel="0" collapsed="false">
      <c r="A49" s="29"/>
      <c r="B49" s="30"/>
      <c r="C49" s="31"/>
      <c r="D49" s="29"/>
      <c r="E49" s="29"/>
      <c r="F49" s="32" t="n">
        <f aca="false">IFERROR(E49-D49,"")</f>
        <v>0</v>
      </c>
      <c r="G49" s="29"/>
      <c r="H49" s="33" t="n">
        <f aca="false">IFERROR(G49*F49*3.6,"")</f>
        <v>0</v>
      </c>
      <c r="I49" s="33" t="str">
        <f aca="false">IFERROR(IF(A49="","",I48+H49),"")</f>
        <v/>
      </c>
      <c r="J49" s="29"/>
      <c r="K49" s="29"/>
      <c r="L49" s="34" t="str">
        <f aca="false">IF(OR(H49="",K49=""),"",IF(H49&lt;=K49,"OK","OVER"))</f>
        <v/>
      </c>
      <c r="M49" s="31"/>
      <c r="N49" s="29"/>
      <c r="O49" s="29"/>
      <c r="P49" s="29"/>
    </row>
    <row r="50" customFormat="false" ht="15" hidden="false" customHeight="false" outlineLevel="0" collapsed="false">
      <c r="A50" s="29"/>
      <c r="B50" s="30"/>
      <c r="C50" s="31"/>
      <c r="D50" s="29"/>
      <c r="E50" s="29"/>
      <c r="F50" s="32" t="n">
        <f aca="false">IFERROR(E50-D50,"")</f>
        <v>0</v>
      </c>
      <c r="G50" s="29"/>
      <c r="H50" s="33" t="n">
        <f aca="false">IFERROR(G50*F50*3.6,"")</f>
        <v>0</v>
      </c>
      <c r="I50" s="33" t="str">
        <f aca="false">IFERROR(IF(A50="","",I49+H50),"")</f>
        <v/>
      </c>
      <c r="J50" s="29"/>
      <c r="K50" s="29"/>
      <c r="L50" s="34" t="str">
        <f aca="false">IF(OR(H50="",K50=""),"",IF(H50&lt;=K50,"OK","OVER"))</f>
        <v/>
      </c>
      <c r="M50" s="31"/>
      <c r="N50" s="29"/>
      <c r="O50" s="29"/>
      <c r="P50" s="29"/>
    </row>
    <row r="51" customFormat="false" ht="15" hidden="false" customHeight="false" outlineLevel="0" collapsed="false">
      <c r="A51" s="29"/>
      <c r="B51" s="30"/>
      <c r="C51" s="31"/>
      <c r="D51" s="29"/>
      <c r="E51" s="29"/>
      <c r="F51" s="32" t="n">
        <f aca="false">IFERROR(E51-D51,"")</f>
        <v>0</v>
      </c>
      <c r="G51" s="29"/>
      <c r="H51" s="33" t="n">
        <f aca="false">IFERROR(G51*F51*3.6,"")</f>
        <v>0</v>
      </c>
      <c r="I51" s="33" t="str">
        <f aca="false">IFERROR(IF(A51="","",I50+H51),"")</f>
        <v/>
      </c>
      <c r="J51" s="29"/>
      <c r="K51" s="29"/>
      <c r="L51" s="34" t="str">
        <f aca="false">IF(OR(H51="",K51=""),"",IF(H51&lt;=K51,"OK","OVER"))</f>
        <v/>
      </c>
      <c r="M51" s="31"/>
      <c r="N51" s="29"/>
      <c r="O51" s="29"/>
      <c r="P51" s="29"/>
    </row>
    <row r="52" customFormat="false" ht="15" hidden="false" customHeight="false" outlineLevel="0" collapsed="false">
      <c r="A52" s="29"/>
      <c r="B52" s="30"/>
      <c r="C52" s="31"/>
      <c r="D52" s="29"/>
      <c r="E52" s="29"/>
      <c r="F52" s="32" t="n">
        <f aca="false">IFERROR(E52-D52,"")</f>
        <v>0</v>
      </c>
      <c r="G52" s="29"/>
      <c r="H52" s="33" t="n">
        <f aca="false">IFERROR(G52*F52*3.6,"")</f>
        <v>0</v>
      </c>
      <c r="I52" s="33" t="str">
        <f aca="false">IFERROR(IF(A52="","",I51+H52),"")</f>
        <v/>
      </c>
      <c r="J52" s="29"/>
      <c r="K52" s="29"/>
      <c r="L52" s="34" t="str">
        <f aca="false">IF(OR(H52="",K52=""),"",IF(H52&lt;=K52,"OK","OVER"))</f>
        <v/>
      </c>
      <c r="M52" s="31"/>
      <c r="N52" s="29"/>
      <c r="O52" s="29"/>
      <c r="P52" s="29"/>
    </row>
    <row r="53" customFormat="false" ht="15" hidden="false" customHeight="false" outlineLevel="0" collapsed="false">
      <c r="A53" s="29"/>
      <c r="B53" s="30"/>
      <c r="C53" s="31"/>
      <c r="D53" s="29"/>
      <c r="E53" s="29"/>
      <c r="F53" s="32" t="n">
        <f aca="false">IFERROR(E53-D53,"")</f>
        <v>0</v>
      </c>
      <c r="G53" s="29"/>
      <c r="H53" s="33" t="n">
        <f aca="false">IFERROR(G53*F53*3.6,"")</f>
        <v>0</v>
      </c>
      <c r="I53" s="33" t="str">
        <f aca="false">IFERROR(IF(A53="","",I52+H53),"")</f>
        <v/>
      </c>
      <c r="J53" s="29"/>
      <c r="K53" s="29"/>
      <c r="L53" s="34" t="str">
        <f aca="false">IF(OR(H53="",K53=""),"",IF(H53&lt;=K53,"OK","OVER"))</f>
        <v/>
      </c>
      <c r="M53" s="31"/>
      <c r="N53" s="29"/>
      <c r="O53" s="29"/>
      <c r="P53" s="29"/>
    </row>
    <row r="54" customFormat="false" ht="15" hidden="false" customHeight="false" outlineLevel="0" collapsed="false">
      <c r="A54" s="29"/>
      <c r="B54" s="30"/>
      <c r="C54" s="31"/>
      <c r="D54" s="29"/>
      <c r="E54" s="29"/>
      <c r="F54" s="32" t="n">
        <f aca="false">IFERROR(E54-D54,"")</f>
        <v>0</v>
      </c>
      <c r="G54" s="29"/>
      <c r="H54" s="33" t="n">
        <f aca="false">IFERROR(G54*F54*3.6,"")</f>
        <v>0</v>
      </c>
      <c r="I54" s="33" t="str">
        <f aca="false">IFERROR(IF(A54="","",I53+H54),"")</f>
        <v/>
      </c>
      <c r="J54" s="29"/>
      <c r="K54" s="29"/>
      <c r="L54" s="34" t="str">
        <f aca="false">IF(OR(H54="",K54=""),"",IF(H54&lt;=K54,"OK","OVER"))</f>
        <v/>
      </c>
      <c r="M54" s="31"/>
      <c r="N54" s="29"/>
      <c r="O54" s="29"/>
      <c r="P54" s="29"/>
    </row>
    <row r="55" customFormat="false" ht="15" hidden="false" customHeight="false" outlineLevel="0" collapsed="false">
      <c r="A55" s="29"/>
      <c r="B55" s="30"/>
      <c r="C55" s="31"/>
      <c r="D55" s="29"/>
      <c r="E55" s="29"/>
      <c r="F55" s="32" t="n">
        <f aca="false">IFERROR(E55-D55,"")</f>
        <v>0</v>
      </c>
      <c r="G55" s="29"/>
      <c r="H55" s="33" t="n">
        <f aca="false">IFERROR(G55*F55*3.6,"")</f>
        <v>0</v>
      </c>
      <c r="I55" s="33" t="str">
        <f aca="false">IFERROR(IF(A55="","",I54+H55),"")</f>
        <v/>
      </c>
      <c r="J55" s="29"/>
      <c r="K55" s="29"/>
      <c r="L55" s="34" t="str">
        <f aca="false">IF(OR(H55="",K55=""),"",IF(H55&lt;=K55,"OK","OVER"))</f>
        <v/>
      </c>
      <c r="M55" s="31"/>
      <c r="N55" s="29"/>
      <c r="O55" s="29"/>
      <c r="P55" s="29"/>
    </row>
    <row r="56" customFormat="false" ht="15" hidden="false" customHeight="false" outlineLevel="0" collapsed="false">
      <c r="A56" s="29"/>
      <c r="B56" s="30"/>
      <c r="C56" s="31"/>
      <c r="D56" s="29"/>
      <c r="E56" s="29"/>
      <c r="F56" s="32" t="n">
        <f aca="false">IFERROR(E56-D56,"")</f>
        <v>0</v>
      </c>
      <c r="G56" s="29"/>
      <c r="H56" s="33" t="n">
        <f aca="false">IFERROR(G56*F56*3.6,"")</f>
        <v>0</v>
      </c>
      <c r="I56" s="33" t="str">
        <f aca="false">IFERROR(IF(A56="","",I55+H56),"")</f>
        <v/>
      </c>
      <c r="J56" s="29"/>
      <c r="K56" s="29"/>
      <c r="L56" s="34" t="str">
        <f aca="false">IF(OR(H56="",K56=""),"",IF(H56&lt;=K56,"OK","OVER"))</f>
        <v/>
      </c>
      <c r="M56" s="31"/>
      <c r="N56" s="29"/>
      <c r="O56" s="29"/>
      <c r="P56" s="29"/>
    </row>
    <row r="57" customFormat="false" ht="15" hidden="false" customHeight="false" outlineLevel="0" collapsed="false">
      <c r="A57" s="29"/>
      <c r="B57" s="30"/>
      <c r="C57" s="31"/>
      <c r="D57" s="29"/>
      <c r="E57" s="29"/>
      <c r="F57" s="32" t="n">
        <f aca="false">IFERROR(E57-D57,"")</f>
        <v>0</v>
      </c>
      <c r="G57" s="29"/>
      <c r="H57" s="33" t="n">
        <f aca="false">IFERROR(G57*F57*3.6,"")</f>
        <v>0</v>
      </c>
      <c r="I57" s="33" t="str">
        <f aca="false">IFERROR(IF(A57="","",I56+H57),"")</f>
        <v/>
      </c>
      <c r="J57" s="29"/>
      <c r="K57" s="29"/>
      <c r="L57" s="34" t="str">
        <f aca="false">IF(OR(H57="",K57=""),"",IF(H57&lt;=K57,"OK","OVER"))</f>
        <v/>
      </c>
      <c r="M57" s="31"/>
      <c r="N57" s="29"/>
      <c r="O57" s="29"/>
      <c r="P57" s="29"/>
    </row>
    <row r="58" customFormat="false" ht="15" hidden="false" customHeight="false" outlineLevel="0" collapsed="false">
      <c r="A58" s="29"/>
      <c r="B58" s="30"/>
      <c r="C58" s="31"/>
      <c r="D58" s="29"/>
      <c r="E58" s="29"/>
      <c r="F58" s="32" t="n">
        <f aca="false">IFERROR(E58-D58,"")</f>
        <v>0</v>
      </c>
      <c r="G58" s="29"/>
      <c r="H58" s="33" t="n">
        <f aca="false">IFERROR(G58*F58*3.6,"")</f>
        <v>0</v>
      </c>
      <c r="I58" s="33" t="str">
        <f aca="false">IFERROR(IF(A58="","",I57+H58),"")</f>
        <v/>
      </c>
      <c r="J58" s="29"/>
      <c r="K58" s="29"/>
      <c r="L58" s="34" t="str">
        <f aca="false">IF(OR(H58="",K58=""),"",IF(H58&lt;=K58,"OK","OVER"))</f>
        <v/>
      </c>
      <c r="M58" s="31"/>
      <c r="N58" s="29"/>
      <c r="O58" s="29"/>
      <c r="P58" s="29"/>
    </row>
  </sheetData>
  <autoFilter ref="A7:P58"/>
  <mergeCells count="2">
    <mergeCell ref="A1:M1"/>
    <mergeCell ref="N6:P6"/>
  </mergeCells>
  <conditionalFormatting sqref="L8:L58">
    <cfRule type="cellIs" priority="2" operator="equal" aboveAverage="0" equalAverage="0" bottom="0" percent="0" rank="0" text="" dxfId="5">
      <formula>"OK"</formula>
    </cfRule>
    <cfRule type="cellIs" priority="3" operator="equal" aboveAverage="0" equalAverage="0" bottom="0" percent="0" rank="0" text="" dxfId="6">
      <formula>"OVER"</formula>
    </cfRule>
  </conditionalFormatting>
  <conditionalFormatting sqref="H8:H58">
    <cfRule type="expression" priority="4" aboveAverage="0" equalAverage="0" bottom="0" percent="0" rank="0" text="" dxfId="6">
      <formula>AND(H8&lt;&gt;"",K8&lt;&gt;"",H8&gt;K8)</formula>
    </cfRule>
    <cfRule type="expression" priority="5" aboveAverage="0" equalAverage="0" bottom="0" percent="0" rank="0" text="" dxfId="7">
      <formula>AND(H8&lt;&gt;"",K8&lt;&gt;"",H8&gt;K8*0.8,H8&lt;=K8)</formula>
    </cfRule>
  </conditionalFormatting>
  <dataValidations count="1">
    <dataValidation allowBlank="true" errorStyle="stop" operator="between" showDropDown="false" showErrorMessage="false" showInputMessage="false" sqref="P8:P58" type="list">
      <formula1>"Yes,No"</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&amp;CDewatering Pump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5" t="s">
        <v>65</v>
      </c>
    </row>
    <row r="2" customFormat="false" ht="15" hidden="false" customHeight="false" outlineLevel="0" collapsed="false">
      <c r="A2" s="35"/>
    </row>
    <row r="3" customFormat="false" ht="15" hidden="false" customHeight="false" outlineLevel="0" collapsed="false">
      <c r="A3" s="35" t="s">
        <v>66</v>
      </c>
    </row>
    <row r="4" customFormat="false" ht="15" hidden="false" customHeight="false" outlineLevel="0" collapsed="false">
      <c r="A4" s="35"/>
    </row>
    <row r="5" customFormat="false" ht="15" hidden="false" customHeight="false" outlineLevel="0" collapsed="false">
      <c r="A5" s="35" t="s">
        <v>67</v>
      </c>
    </row>
    <row r="6" customFormat="false" ht="15" hidden="false" customHeight="false" outlineLevel="0" collapsed="false">
      <c r="A6" s="35"/>
    </row>
    <row r="7" customFormat="false" ht="15" hidden="false" customHeight="false" outlineLevel="0" collapsed="false">
      <c r="A7" s="35" t="s">
        <v>68</v>
      </c>
    </row>
    <row r="8" customFormat="false" ht="15" hidden="false" customHeight="false" outlineLevel="0" collapsed="false">
      <c r="A8" s="35"/>
    </row>
    <row r="9" customFormat="false" ht="15" hidden="false" customHeight="false" outlineLevel="0" collapsed="false">
      <c r="A9" s="35" t="s">
        <v>69</v>
      </c>
    </row>
    <row r="10" customFormat="false" ht="15" hidden="false" customHeight="false" outlineLevel="0" collapsed="false">
      <c r="A10" s="35"/>
    </row>
    <row r="11" customFormat="false" ht="15" hidden="false" customHeight="false" outlineLevel="0" collapsed="false">
      <c r="A11" s="35" t="s">
        <v>70</v>
      </c>
    </row>
    <row r="12" customFormat="false" ht="15" hidden="false" customHeight="false" outlineLevel="0" collapsed="false">
      <c r="A12" s="35"/>
    </row>
    <row r="13" customFormat="false" ht="15" hidden="false" customHeight="false" outlineLevel="0" collapsed="false">
      <c r="A13" s="35" t="s">
        <v>71</v>
      </c>
    </row>
    <row r="14" customFormat="false" ht="15" hidden="false" customHeight="false" outlineLevel="0" collapsed="false">
      <c r="A14" s="35"/>
    </row>
    <row r="15" customFormat="false" ht="15" hidden="false" customHeight="false" outlineLevel="0" collapsed="false">
      <c r="A15" s="35" t="s">
        <v>72</v>
      </c>
    </row>
    <row r="16" customFormat="false" ht="15" hidden="false" customHeight="false" outlineLevel="0" collapsed="false">
      <c r="A16" s="35"/>
    </row>
    <row r="17" customFormat="false" ht="15" hidden="false" customHeight="false" outlineLevel="0" collapsed="false">
      <c r="A17" s="35"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Civils &amp; Groundworks</cp:category>
  <dcterms:created xsi:type="dcterms:W3CDTF">2026-03-23T10:33:06Z</dcterms:created>
  <dc:creator>Ebrora Ltd</dc:creator>
  <dc:description>Monitor dewatering pump operations with daily runtime, flow rates, water levels, and automatic volume calculations for environmental compliance.
Free professional construction management template from Ebrora Ltd. Visit ebrora.com for our full range of tools and templates.</dc:description>
  <cp:keywords>Ebrora construction civils dewatering pump log groundwater discharge environmental</cp:keywords>
  <dc:language>en-US</dc:language>
  <cp:lastModifiedBy>Ebrora Ltd</cp:lastModifiedBy>
  <dcterms:modified xsi:type="dcterms:W3CDTF">2026-03-23T10:33:06Z</dcterms:modified>
  <cp:revision>0</cp:revision>
  <dc:subject>Monitor dewatering pump operations with daily runtime, flow rates, and automatic volume calculations for environmental compliance.</dc:subject>
  <dc:title>Dewatering Pump Log</dc:title>
</cp:coreProperties>
</file>

<file path=docProps/custom.xml><?xml version="1.0" encoding="utf-8"?>
<Properties xmlns="http://schemas.openxmlformats.org/officeDocument/2006/custom-properties" xmlns:vt="http://schemas.openxmlformats.org/officeDocument/2006/docPropsVTypes"/>
</file>